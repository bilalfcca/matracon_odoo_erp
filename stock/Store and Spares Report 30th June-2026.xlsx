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D35E1CE-B4E2-4F34-89FA-D748358256BE}" xr6:coauthVersionLast="47" xr6:coauthVersionMax="47" xr10:uidLastSave="{00000000-0000-0000-0000-000000000000}"/>
  <bookViews>
    <workbookView xWindow="-120" yWindow="-120" windowWidth="21840" windowHeight="13140" xr2:uid="{4B356409-B986-4AE4-B08F-DF65FF0E72CE}"/>
  </bookViews>
  <sheets>
    <sheet name="30-06-26" sheetId="1" r:id="rId1"/>
  </sheets>
  <externalReferences>
    <externalReference r:id="rId2"/>
  </externalReferences>
  <definedNames>
    <definedName name="_xlnm.Print_Area" localSheetId="0">'30-06-26'!$A$1:$H$44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3" i="1" l="1"/>
  <c r="D43" i="1"/>
  <c r="F43" i="1" s="1"/>
  <c r="H43" i="1" s="1"/>
  <c r="E42" i="1"/>
  <c r="D42" i="1"/>
  <c r="E41" i="1"/>
  <c r="D41" i="1"/>
  <c r="F41" i="1" s="1"/>
  <c r="H41" i="1" s="1"/>
  <c r="E40" i="1"/>
  <c r="D40" i="1"/>
  <c r="F40" i="1" s="1"/>
  <c r="H40" i="1" s="1"/>
  <c r="E39" i="1"/>
  <c r="F39" i="1" s="1"/>
  <c r="H39" i="1" s="1"/>
  <c r="D39" i="1"/>
  <c r="E38" i="1"/>
  <c r="D38" i="1"/>
  <c r="F38" i="1" s="1"/>
  <c r="H38" i="1" s="1"/>
  <c r="E37" i="1"/>
  <c r="D37" i="1"/>
  <c r="F37" i="1" s="1"/>
  <c r="H37" i="1" s="1"/>
  <c r="E36" i="1"/>
  <c r="D36" i="1"/>
  <c r="F36" i="1" s="1"/>
  <c r="H36" i="1" s="1"/>
  <c r="G35" i="1"/>
  <c r="E35" i="1"/>
  <c r="D35" i="1"/>
  <c r="F35" i="1" s="1"/>
  <c r="V34" i="1"/>
  <c r="U34" i="1"/>
  <c r="T34" i="1"/>
  <c r="S34" i="1"/>
  <c r="Q34" i="1"/>
  <c r="P34" i="1"/>
  <c r="O34" i="1"/>
  <c r="N34" i="1"/>
  <c r="G34" i="1"/>
  <c r="F34" i="1"/>
  <c r="H34" i="1" s="1"/>
  <c r="E34" i="1"/>
  <c r="D34" i="1"/>
  <c r="G33" i="1"/>
  <c r="E33" i="1"/>
  <c r="D33" i="1"/>
  <c r="F33" i="1" s="1"/>
  <c r="G32" i="1"/>
  <c r="E32" i="1"/>
  <c r="D32" i="1"/>
  <c r="A32" i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G31" i="1"/>
  <c r="E31" i="1"/>
  <c r="D31" i="1"/>
  <c r="G30" i="1"/>
  <c r="H30" i="1" s="1"/>
  <c r="E30" i="1"/>
  <c r="D30" i="1"/>
  <c r="E29" i="1"/>
  <c r="F29" i="1" s="1"/>
  <c r="H29" i="1" s="1"/>
  <c r="D29" i="1"/>
  <c r="E28" i="1"/>
  <c r="D28" i="1"/>
  <c r="E27" i="1"/>
  <c r="D27" i="1"/>
  <c r="F27" i="1" s="1"/>
  <c r="H27" i="1" s="1"/>
  <c r="E26" i="1"/>
  <c r="D26" i="1"/>
  <c r="F26" i="1" s="1"/>
  <c r="H26" i="1" s="1"/>
  <c r="E25" i="1"/>
  <c r="D25" i="1"/>
  <c r="I24" i="1"/>
  <c r="E24" i="1"/>
  <c r="D24" i="1"/>
  <c r="E23" i="1"/>
  <c r="D23" i="1"/>
  <c r="E22" i="1"/>
  <c r="D22" i="1"/>
  <c r="F22" i="1" s="1"/>
  <c r="H22" i="1" s="1"/>
  <c r="E21" i="1"/>
  <c r="D21" i="1"/>
  <c r="E20" i="1"/>
  <c r="D20" i="1"/>
  <c r="F20" i="1" s="1"/>
  <c r="H20" i="1" s="1"/>
  <c r="G19" i="1"/>
  <c r="E19" i="1"/>
  <c r="D19" i="1"/>
  <c r="F19" i="1" s="1"/>
  <c r="G18" i="1"/>
  <c r="E18" i="1"/>
  <c r="F18" i="1" s="1"/>
  <c r="D18" i="1"/>
  <c r="G17" i="1"/>
  <c r="E17" i="1"/>
  <c r="D17" i="1"/>
  <c r="R16" i="1"/>
  <c r="G16" i="1"/>
  <c r="E16" i="1"/>
  <c r="F16" i="1" s="1"/>
  <c r="R15" i="1"/>
  <c r="R34" i="1" s="1"/>
  <c r="G15" i="1"/>
  <c r="E15" i="1"/>
  <c r="D15" i="1"/>
  <c r="F15" i="1" s="1"/>
  <c r="M14" i="1"/>
  <c r="L14" i="1"/>
  <c r="K14" i="1"/>
  <c r="G14" i="1"/>
  <c r="E14" i="1"/>
  <c r="D14" i="1"/>
  <c r="G13" i="1"/>
  <c r="E13" i="1"/>
  <c r="D13" i="1"/>
  <c r="F13" i="1" s="1"/>
  <c r="H13" i="1" s="1"/>
  <c r="G12" i="1"/>
  <c r="E12" i="1"/>
  <c r="D12" i="1"/>
  <c r="F12" i="1" s="1"/>
  <c r="H12" i="1" s="1"/>
  <c r="G11" i="1"/>
  <c r="E11" i="1"/>
  <c r="F11" i="1" s="1"/>
  <c r="D11" i="1"/>
  <c r="G10" i="1"/>
  <c r="E10" i="1"/>
  <c r="D10" i="1"/>
  <c r="E9" i="1"/>
  <c r="F9" i="1" s="1"/>
  <c r="H9" i="1" s="1"/>
  <c r="D9" i="1"/>
  <c r="E8" i="1"/>
  <c r="F8" i="1" s="1"/>
  <c r="H8" i="1" s="1"/>
  <c r="D8" i="1"/>
  <c r="E7" i="1"/>
  <c r="D7" i="1"/>
  <c r="F7" i="1" s="1"/>
  <c r="H7" i="1" s="1"/>
  <c r="E6" i="1"/>
  <c r="D6" i="1"/>
  <c r="F6" i="1" s="1"/>
  <c r="H6" i="1" s="1"/>
  <c r="E5" i="1"/>
  <c r="D5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4" i="1"/>
  <c r="D4" i="1"/>
  <c r="F17" i="1" l="1"/>
  <c r="H17" i="1" s="1"/>
  <c r="F4" i="1"/>
  <c r="H4" i="1" s="1"/>
  <c r="F24" i="1"/>
  <c r="H24" i="1" s="1"/>
  <c r="F28" i="1"/>
  <c r="H28" i="1" s="1"/>
  <c r="H33" i="1"/>
  <c r="H35" i="1"/>
  <c r="H11" i="1"/>
  <c r="F14" i="1"/>
  <c r="H14" i="1" s="1"/>
  <c r="H44" i="1" s="1"/>
  <c r="F21" i="1"/>
  <c r="H21" i="1" s="1"/>
  <c r="F31" i="1"/>
  <c r="H31" i="1" s="1"/>
  <c r="F5" i="1"/>
  <c r="H5" i="1" s="1"/>
  <c r="H18" i="1"/>
  <c r="F25" i="1"/>
  <c r="H25" i="1" s="1"/>
  <c r="F42" i="1"/>
  <c r="H42" i="1" s="1"/>
  <c r="H19" i="1"/>
  <c r="F10" i="1"/>
  <c r="H10" i="1" s="1"/>
  <c r="F23" i="1"/>
  <c r="H23" i="1" s="1"/>
  <c r="F32" i="1"/>
  <c r="H32" i="1" s="1"/>
  <c r="H15" i="1"/>
  <c r="L23" i="1"/>
  <c r="J17" i="1"/>
  <c r="L19" i="1"/>
  <c r="L24" i="1" s="1"/>
  <c r="H16" i="1"/>
  <c r="M17" i="1" l="1"/>
  <c r="M18" i="1" s="1"/>
</calcChain>
</file>

<file path=xl/sharedStrings.xml><?xml version="1.0" encoding="utf-8"?>
<sst xmlns="http://schemas.openxmlformats.org/spreadsheetml/2006/main" count="106" uniqueCount="71">
  <si>
    <t>Closing Report Store Materials June 30th ,2026</t>
  </si>
  <si>
    <r>
      <t xml:space="preserve">Project: </t>
    </r>
    <r>
      <rPr>
        <sz val="16"/>
        <color theme="1"/>
        <rFont val="Times New Roman"/>
        <family val="1"/>
      </rPr>
      <t>Sewage Treatment Plant Mardan</t>
    </r>
    <r>
      <rPr>
        <b/>
        <sz val="16"/>
        <color theme="1"/>
        <rFont val="Times New Roman"/>
        <family val="1"/>
      </rPr>
      <t xml:space="preserve">                                     </t>
    </r>
  </si>
  <si>
    <t>Sr.#</t>
  </si>
  <si>
    <t>Description</t>
  </si>
  <si>
    <t>Unit</t>
  </si>
  <si>
    <t xml:space="preserve"> Receive Qty</t>
  </si>
  <si>
    <t>Issue Qty.</t>
  </si>
  <si>
    <t>Balance</t>
  </si>
  <si>
    <t>Rate P/Unit Cost</t>
  </si>
  <si>
    <t>Amount</t>
  </si>
  <si>
    <t>HDPE Pipe 160mm (PN-10 PE-100)</t>
  </si>
  <si>
    <t>Meter</t>
  </si>
  <si>
    <t>HDPE Pipe 200mm (PN-10 PE-100)</t>
  </si>
  <si>
    <t>HDPE Pipe 315mm (PN-10 PE-100)</t>
  </si>
  <si>
    <t>HDPE Pipe 560mm (PN-10 PE-100)</t>
  </si>
  <si>
    <t>HDPE Pipe 710mm (PN-10 PE-100)</t>
  </si>
  <si>
    <t>Pipe 06"</t>
  </si>
  <si>
    <t>Pipe 12"</t>
  </si>
  <si>
    <t>Pipe 08"</t>
  </si>
  <si>
    <t>Cement</t>
  </si>
  <si>
    <t>Ring</t>
  </si>
  <si>
    <t>Cover</t>
  </si>
  <si>
    <t>10mm</t>
  </si>
  <si>
    <t>12mm</t>
  </si>
  <si>
    <t>16mm</t>
  </si>
  <si>
    <t>20mm</t>
  </si>
  <si>
    <t>Bricks</t>
  </si>
  <si>
    <t>R.C.C 30"</t>
  </si>
  <si>
    <t>HDPE Pipe 800mm (PN-10)</t>
  </si>
  <si>
    <t>HDPE Pipe 900mm (PN-10)</t>
  </si>
  <si>
    <t>HDPE Pipe 1000mm (PN-10)</t>
  </si>
  <si>
    <t>UPVC Pipe 03"</t>
  </si>
  <si>
    <t>UPVC Pipe 04"</t>
  </si>
  <si>
    <t>UPVC Pipe 06"</t>
  </si>
  <si>
    <t>UPVC Pipe 08" 4mtr length</t>
  </si>
  <si>
    <t>UPVC Pipe 08" 6mtr length</t>
  </si>
  <si>
    <t>UPVC Pipe 12"</t>
  </si>
  <si>
    <t>UPVC Pipe 16"</t>
  </si>
  <si>
    <t>UPVC Elbow 6"</t>
  </si>
  <si>
    <t>No</t>
  </si>
  <si>
    <t>8"</t>
  </si>
  <si>
    <t>R.C.C Pipe 18"</t>
  </si>
  <si>
    <t>R.C.C Pipe 21"</t>
  </si>
  <si>
    <t>R.C.C Pipe 24''</t>
  </si>
  <si>
    <t>R.C.C Pipe 30"</t>
  </si>
  <si>
    <t>R.C.C Pipe 36"</t>
  </si>
  <si>
    <t>R.P.C Main Hole Ring</t>
  </si>
  <si>
    <t>Main Hole Ring MS</t>
  </si>
  <si>
    <t>R.P.C Main Hole Cover</t>
  </si>
  <si>
    <t xml:space="preserve">                                                                                            </t>
  </si>
  <si>
    <t>Main Hole Cover MS</t>
  </si>
  <si>
    <t>Water Stopper 8"</t>
  </si>
  <si>
    <t>Rft</t>
  </si>
  <si>
    <t>HDPE Elbow 315mm (90) PN-10 PE-100</t>
  </si>
  <si>
    <t>HDPE Elbow 315mm (45) PN-10 PE-100</t>
  </si>
  <si>
    <t>HDPE Equal Tee 315mm  PN-10 PE-100</t>
  </si>
  <si>
    <t>HDPE Reducer 315x160 mm  PN-10 PE-100</t>
  </si>
  <si>
    <t>HDPE Elbow 560mm (90) PN-10 PE-100</t>
  </si>
  <si>
    <t>HDPE Equal Tee 560mm  PN-10 PE-100</t>
  </si>
  <si>
    <t>HDPE Elbow 710mm (90) PN-10 PE-100</t>
  </si>
  <si>
    <t xml:space="preserve">Cement </t>
  </si>
  <si>
    <t>Bag</t>
  </si>
  <si>
    <t>Bricks 1st Class</t>
  </si>
  <si>
    <t xml:space="preserve"> </t>
  </si>
  <si>
    <t>Bar Steel 10 mm</t>
  </si>
  <si>
    <t>KG</t>
  </si>
  <si>
    <t>Bar Steel 12 mm</t>
  </si>
  <si>
    <t>Bar Steel 16 mm</t>
  </si>
  <si>
    <t>Bar Steel 20 mm</t>
  </si>
  <si>
    <t>Bar Steel 25 mm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</si>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</sst>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d/mmm/yy;@"/>
    <numFmt numFmtId="165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Times New Roman"/>
      <family val="1"/>
    </font>
    <font>
      <b/>
      <sz val="18"/>
      <color theme="1"/>
      <name val="Calibri"/>
      <family val="2"/>
      <scheme val="minor"/>
    </font>
    <font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6">
    <xf numFmtId="0" fontId="0" fillId="0" borderId="0" xfId="0"/>
    <xf numFmtId="0" fontId="3" fillId="0" borderId="1" xfId="0" applyFont="1" applyBorder="1" applyAlignment="1" applyProtection="1">
      <alignment horizontal="center" vertical="center"/>
      <protection locked="0" hidden="1"/>
    </xf>
    <xf numFmtId="0" fontId="3" fillId="0" borderId="2" xfId="0" applyFont="1" applyBorder="1" applyAlignment="1" applyProtection="1">
      <alignment horizontal="center" vertical="center"/>
      <protection locked="0" hidden="1"/>
    </xf>
    <xf numFmtId="0" fontId="4" fillId="0" borderId="0" xfId="0" applyFont="1" applyAlignment="1" applyProtection="1">
      <alignment horizontal="center" vertical="center"/>
      <protection locked="0" hidden="1"/>
    </xf>
    <xf numFmtId="0" fontId="4" fillId="0" borderId="1" xfId="0" applyFont="1" applyBorder="1" applyAlignment="1" applyProtection="1">
      <alignment horizontal="left" vertical="center"/>
      <protection locked="0" hidden="1"/>
    </xf>
    <xf numFmtId="0" fontId="4" fillId="0" borderId="2" xfId="0" applyFont="1" applyBorder="1" applyAlignment="1" applyProtection="1">
      <alignment horizontal="left" vertical="center"/>
      <protection locked="0" hidden="1"/>
    </xf>
    <xf numFmtId="164" fontId="4" fillId="0" borderId="2" xfId="0" applyNumberFormat="1" applyFont="1" applyBorder="1" applyAlignment="1" applyProtection="1">
      <alignment horizontal="center" vertical="center"/>
      <protection locked="0" hidden="1"/>
    </xf>
    <xf numFmtId="164" fontId="6" fillId="0" borderId="0" xfId="0" applyNumberFormat="1" applyFont="1" applyAlignment="1" applyProtection="1">
      <alignment horizontal="center" vertical="center"/>
      <protection locked="0" hidden="1"/>
    </xf>
    <xf numFmtId="0" fontId="6" fillId="0" borderId="3" xfId="0" applyFont="1" applyBorder="1" applyAlignment="1" applyProtection="1">
      <alignment horizontal="center" vertical="center"/>
      <protection locked="0" hidden="1"/>
    </xf>
    <xf numFmtId="0" fontId="6" fillId="0" borderId="3" xfId="0" applyFont="1" applyBorder="1" applyAlignment="1" applyProtection="1">
      <alignment horizontal="center" vertical="center" wrapText="1"/>
      <protection locked="0" hidden="1"/>
    </xf>
    <xf numFmtId="0" fontId="6" fillId="0" borderId="4" xfId="0" applyFont="1" applyBorder="1" applyAlignment="1" applyProtection="1">
      <alignment horizontal="center" vertical="center" wrapText="1"/>
      <protection locked="0" hidden="1"/>
    </xf>
    <xf numFmtId="0" fontId="6" fillId="0" borderId="0" xfId="0" applyFont="1" applyAlignment="1" applyProtection="1">
      <alignment horizontal="center" vertical="center" wrapText="1"/>
      <protection locked="0" hidden="1"/>
    </xf>
    <xf numFmtId="0" fontId="7" fillId="0" borderId="5" xfId="0" applyFont="1" applyBorder="1" applyAlignment="1" applyProtection="1">
      <alignment horizontal="center" vertical="center"/>
      <protection locked="0" hidden="1"/>
    </xf>
    <xf numFmtId="0" fontId="7" fillId="0" borderId="6" xfId="0" applyFont="1" applyBorder="1" applyAlignment="1" applyProtection="1">
      <alignment horizontal="left" vertical="center"/>
      <protection locked="0" hidden="1"/>
    </xf>
    <xf numFmtId="0" fontId="7" fillId="0" borderId="6" xfId="0" applyFont="1" applyBorder="1" applyAlignment="1" applyProtection="1">
      <alignment horizontal="center" vertical="center"/>
      <protection locked="0" hidden="1"/>
    </xf>
    <xf numFmtId="0" fontId="7" fillId="0" borderId="7" xfId="0" applyFont="1" applyBorder="1" applyAlignment="1" applyProtection="1">
      <alignment horizontal="center" vertical="center"/>
      <protection locked="0" hidden="1"/>
    </xf>
    <xf numFmtId="165" fontId="7" fillId="0" borderId="8" xfId="1" applyNumberFormat="1" applyFont="1" applyBorder="1" applyAlignment="1" applyProtection="1">
      <alignment horizontal="center" vertical="center"/>
      <protection locked="0" hidden="1"/>
    </xf>
    <xf numFmtId="0" fontId="8" fillId="0" borderId="0" xfId="0" applyFont="1" applyAlignment="1" applyProtection="1">
      <alignment horizontal="center" vertical="center" wrapText="1"/>
      <protection locked="0" hidden="1"/>
    </xf>
    <xf numFmtId="0" fontId="7" fillId="0" borderId="9" xfId="0" applyFont="1" applyBorder="1" applyAlignment="1" applyProtection="1">
      <alignment horizontal="center" vertical="center"/>
      <protection locked="0" hidden="1"/>
    </xf>
    <xf numFmtId="0" fontId="7" fillId="0" borderId="8" xfId="0" applyFont="1" applyBorder="1" applyAlignment="1" applyProtection="1">
      <alignment horizontal="left" vertical="center"/>
      <protection locked="0" hidden="1"/>
    </xf>
    <xf numFmtId="0" fontId="7" fillId="0" borderId="8" xfId="0" applyFont="1" applyBorder="1" applyAlignment="1" applyProtection="1">
      <alignment horizontal="center" vertical="center"/>
      <protection locked="0" hidden="1"/>
    </xf>
    <xf numFmtId="0" fontId="7" fillId="0" borderId="0" xfId="0" applyFont="1" applyAlignment="1" applyProtection="1">
      <alignment horizontal="center" vertical="center"/>
      <protection locked="0" hidden="1"/>
    </xf>
    <xf numFmtId="0" fontId="7" fillId="0" borderId="10" xfId="0" applyFont="1" applyBorder="1" applyAlignment="1" applyProtection="1">
      <alignment horizontal="center" vertical="center"/>
      <protection locked="0" hidden="1"/>
    </xf>
    <xf numFmtId="0" fontId="7" fillId="0" borderId="0" xfId="0" applyFont="1" applyAlignment="1" applyProtection="1">
      <alignment horizontal="center" vertical="center" wrapText="1"/>
      <protection locked="0" hidden="1"/>
    </xf>
    <xf numFmtId="0" fontId="7" fillId="0" borderId="11" xfId="0" applyFont="1" applyBorder="1" applyAlignment="1" applyProtection="1">
      <alignment horizontal="center" vertical="center"/>
      <protection locked="0" hidden="1"/>
    </xf>
    <xf numFmtId="0" fontId="7" fillId="0" borderId="12" xfId="0" applyFont="1" applyBorder="1" applyAlignment="1" applyProtection="1">
      <alignment horizontal="center" vertical="center"/>
      <protection locked="0" hidden="1"/>
    </xf>
    <xf numFmtId="1" fontId="0" fillId="0" borderId="8" xfId="0" applyNumberFormat="1" applyBorder="1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3" fontId="7" fillId="0" borderId="8" xfId="0" applyNumberFormat="1" applyFont="1" applyBorder="1" applyAlignment="1" applyProtection="1">
      <alignment horizontal="center" vertical="center"/>
      <protection locked="0" hidden="1"/>
    </xf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horizontal="right" vertical="center"/>
    </xf>
    <xf numFmtId="0" fontId="7" fillId="0" borderId="0" xfId="0" applyFont="1" applyAlignment="1" applyProtection="1">
      <alignment horizontal="center" vertical="center" shrinkToFit="1"/>
      <protection locked="0" hidden="1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2" fontId="0" fillId="0" borderId="0" xfId="0" applyNumberFormat="1"/>
    <xf numFmtId="0" fontId="11" fillId="3" borderId="0" xfId="0" applyFont="1" applyFill="1" applyAlignment="1">
      <alignment horizontal="center" vertical="center"/>
    </xf>
    <xf numFmtId="0" fontId="0" fillId="4" borderId="0" xfId="0" applyFill="1"/>
    <xf numFmtId="0" fontId="0" fillId="3" borderId="0" xfId="0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12" fillId="6" borderId="0" xfId="0" applyFont="1" applyFill="1" applyAlignment="1">
      <alignment horizontal="center" vertical="center"/>
    </xf>
    <xf numFmtId="0" fontId="7" fillId="0" borderId="13" xfId="0" applyFont="1" applyBorder="1" applyAlignment="1" applyProtection="1">
      <alignment horizontal="left" vertical="center" shrinkToFit="1"/>
      <protection locked="0" hidden="1"/>
    </xf>
    <xf numFmtId="0" fontId="10" fillId="7" borderId="0" xfId="0" applyFont="1" applyFill="1" applyAlignment="1">
      <alignment horizontal="center" vertical="center"/>
    </xf>
    <xf numFmtId="0" fontId="7" fillId="0" borderId="8" xfId="0" applyFont="1" applyBorder="1" applyAlignment="1" applyProtection="1">
      <alignment horizontal="left" vertical="center" shrinkToFit="1"/>
      <protection locked="0" hidden="1"/>
    </xf>
    <xf numFmtId="3" fontId="1" fillId="8" borderId="8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1" fontId="7" fillId="0" borderId="8" xfId="0" applyNumberFormat="1" applyFont="1" applyBorder="1" applyAlignment="1" applyProtection="1">
      <alignment horizontal="center" vertical="center"/>
      <protection locked="0" hidden="1"/>
    </xf>
    <xf numFmtId="2" fontId="7" fillId="0" borderId="8" xfId="0" applyNumberFormat="1" applyFont="1" applyBorder="1" applyAlignment="1" applyProtection="1">
      <alignment horizontal="center" vertical="center"/>
      <protection locked="0" hidden="1"/>
    </xf>
    <xf numFmtId="2" fontId="8" fillId="0" borderId="0" xfId="0" applyNumberFormat="1" applyFont="1" applyAlignment="1" applyProtection="1">
      <alignment horizontal="center" vertical="center" wrapText="1"/>
      <protection locked="0" hidden="1"/>
    </xf>
    <xf numFmtId="0" fontId="7" fillId="0" borderId="14" xfId="0" applyFont="1" applyBorder="1" applyAlignment="1" applyProtection="1">
      <alignment horizontal="center" vertical="center"/>
      <protection locked="0" hidden="1"/>
    </xf>
    <xf numFmtId="0" fontId="7" fillId="0" borderId="15" xfId="0" applyFont="1" applyBorder="1" applyAlignment="1" applyProtection="1">
      <alignment horizontal="left" vertical="center"/>
      <protection locked="0" hidden="1"/>
    </xf>
    <xf numFmtId="0" fontId="7" fillId="0" borderId="15" xfId="0" applyFont="1" applyBorder="1" applyAlignment="1" applyProtection="1">
      <alignment horizontal="center" vertical="center"/>
      <protection locked="0" hidden="1"/>
    </xf>
    <xf numFmtId="2" fontId="7" fillId="0" borderId="15" xfId="0" applyNumberFormat="1" applyFont="1" applyBorder="1" applyAlignment="1" applyProtection="1">
      <alignment horizontal="center" vertical="center"/>
      <protection locked="0" hidden="1"/>
    </xf>
    <xf numFmtId="1" fontId="7" fillId="0" borderId="15" xfId="0" applyNumberFormat="1" applyFont="1" applyBorder="1" applyAlignment="1" applyProtection="1">
      <alignment horizontal="center" vertical="center"/>
      <protection locked="0" hidden="1"/>
    </xf>
    <xf numFmtId="2" fontId="7" fillId="0" borderId="16" xfId="0" applyNumberFormat="1" applyFont="1" applyBorder="1" applyAlignment="1" applyProtection="1">
      <alignment horizontal="center" vertical="center"/>
      <protection locked="0" hidden="1"/>
    </xf>
    <xf numFmtId="2" fontId="7" fillId="0" borderId="17" xfId="0" applyNumberFormat="1" applyFont="1" applyBorder="1" applyAlignment="1" applyProtection="1">
      <alignment horizontal="center" vertical="center"/>
      <protection locked="0" hidden="1"/>
    </xf>
    <xf numFmtId="0" fontId="14" fillId="0" borderId="11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165" fontId="14" fillId="0" borderId="8" xfId="1" applyNumberFormat="1" applyFont="1" applyBorder="1"/>
    <xf numFmtId="0" fontId="15" fillId="0" borderId="13" xfId="0" applyFont="1" applyBorder="1" applyAlignment="1" applyProtection="1">
      <alignment horizontal="left" vertical="center"/>
      <protection locked="0" hidden="1"/>
    </xf>
    <xf numFmtId="0" fontId="15" fillId="0" borderId="8" xfId="0" applyFont="1" applyBorder="1" applyAlignment="1" applyProtection="1">
      <alignment horizontal="center" vertical="center"/>
      <protection locked="0" hidden="1"/>
    </xf>
    <xf numFmtId="0" fontId="15" fillId="0" borderId="11" xfId="0" applyFont="1" applyBorder="1" applyAlignment="1" applyProtection="1">
      <alignment horizontal="center" vertical="center"/>
      <protection locked="0" hidden="1"/>
    </xf>
    <xf numFmtId="165" fontId="15" fillId="0" borderId="8" xfId="1" applyNumberFormat="1" applyFont="1" applyBorder="1" applyAlignment="1" applyProtection="1">
      <alignment horizontal="center" vertical="center"/>
      <protection locked="0" hidden="1"/>
    </xf>
    <xf numFmtId="0" fontId="13" fillId="0" borderId="13" xfId="0" applyFont="1" applyFill="1" applyBorder="1" applyAlignment="1" applyProtection="1">
      <alignment horizontal="left" vertical="center"/>
      <protection locked="0" hidden="1"/>
    </xf>
    <xf numFmtId="0" fontId="13" fillId="0" borderId="8" xfId="0" applyFont="1" applyFill="1" applyBorder="1" applyAlignment="1" applyProtection="1">
      <alignment horizontal="center" vertical="center"/>
      <protection locked="0" hidden="1"/>
    </xf>
    <xf numFmtId="0" fontId="13" fillId="0" borderId="11" xfId="0" applyFont="1" applyFill="1" applyBorder="1" applyAlignment="1" applyProtection="1">
      <alignment horizontal="center" vertical="center"/>
      <protection locked="0" hidden="1"/>
    </xf>
    <xf numFmtId="165" fontId="13" fillId="0" borderId="8" xfId="1" applyNumberFormat="1" applyFont="1" applyFill="1" applyBorder="1" applyAlignment="1" applyProtection="1">
      <alignment horizontal="center" vertical="center"/>
      <protection locked="0" hidden="1"/>
    </xf>
    <xf numFmtId="0" fontId="15" fillId="0" borderId="13" xfId="0" applyFont="1" applyFill="1" applyBorder="1" applyAlignment="1" applyProtection="1">
      <alignment horizontal="left" vertical="center"/>
      <protection locked="0" hidden="1"/>
    </xf>
    <xf numFmtId="0" fontId="15" fillId="0" borderId="8" xfId="0" applyFont="1" applyFill="1" applyBorder="1" applyAlignment="1" applyProtection="1">
      <alignment horizontal="center" vertical="center"/>
      <protection locked="0" hidden="1"/>
    </xf>
    <xf numFmtId="0" fontId="15" fillId="0" borderId="11" xfId="0" applyFont="1" applyFill="1" applyBorder="1" applyAlignment="1" applyProtection="1">
      <alignment horizontal="center" vertical="center"/>
      <protection locked="0" hidden="1"/>
    </xf>
    <xf numFmtId="165" fontId="15" fillId="0" borderId="8" xfId="1" applyNumberFormat="1" applyFont="1" applyFill="1" applyBorder="1" applyAlignment="1" applyProtection="1">
      <alignment horizontal="center" vertical="center"/>
      <protection locked="0"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22712</xdr:colOff>
      <xdr:row>0</xdr:row>
      <xdr:rowOff>28575</xdr:rowOff>
    </xdr:from>
    <xdr:to>
      <xdr:col>1</xdr:col>
      <xdr:colOff>0</xdr:colOff>
      <xdr:row>0</xdr:row>
      <xdr:rowOff>391255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DFDB28E1-D917-44D7-9DF8-0A6C6E921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12" y="28575"/>
          <a:ext cx="424963" cy="362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Liability%20Sheets%20Details%20%20%20updated\MAIN%20SHEET\Liability%20Sheet.xlsx" TargetMode="External"/><Relationship Id="rId1" Type="http://schemas.openxmlformats.org/officeDocument/2006/relationships/externalLinkPath" Target="Liability%20Sheets%20Details%20%20%20updated/MAIN%20SHEET/Liability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ABILTY SHEET"/>
      <sheetName val="AL MAKKAH RCC PIPE"/>
      <sheetName val="BRICKS (NAEEM)"/>
      <sheetName val="BRICKS (NADIR)"/>
      <sheetName val="Newage Cable"/>
      <sheetName val="Fast Cables"/>
      <sheetName val="Osaka Lighting"/>
      <sheetName val="KARAKURAM TASHAL"/>
      <sheetName val="Tech Mart (Clipsal)"/>
      <sheetName val="LUCKY CEMENT"/>
      <sheetName val="Sikandar Khan (Cement)"/>
      <sheetName val="Sufian Engineering (Afaq Sb)"/>
      <sheetName val="KOHAT CEMENT"/>
      <sheetName val="ROYAL PVC"/>
      <sheetName val="ROYAL PETRO "/>
      <sheetName val="ALPHA PIPE"/>
      <sheetName val="FAIZAN STEEL 01"/>
      <sheetName val="FF STEEL "/>
      <sheetName val="MS PETROLEUM ( FUEL)"/>
      <sheetName val="WAFI PETROLIUM"/>
      <sheetName val="ULTRA CONSTRUCTION "/>
      <sheetName val="GREEN PLANET RECYCLERS"/>
      <sheetName val="HAZARA TIMBER"/>
      <sheetName val="KSA &amp; SONS"/>
      <sheetName val="NIPPON PAINT"/>
      <sheetName val="MyCO."/>
      <sheetName val="BHM"/>
      <sheetName val="Fahim Akhtar"/>
      <sheetName val="APEX"/>
      <sheetName val="AECC"/>
      <sheetName val="ZASCON "/>
      <sheetName val="NODE MARKETTING"/>
      <sheetName val="BBCC"/>
      <sheetName val="PAKISTAN STEEL WORKS (SUB-CONTR"/>
      <sheetName val="NOOR ALAM (ELECTRIC)"/>
      <sheetName val="NOOR ALAM (PLUMBING)"/>
      <sheetName val="ABBAS ELECTRICIAN"/>
      <sheetName val="ORIENT"/>
      <sheetName val="SHARP ALUMINIUM."/>
      <sheetName val="AQ"/>
      <sheetName val="M ALI DEVELOPERS KASUR JOINTS"/>
      <sheetName val="TAJ MAHAL"/>
      <sheetName val="KASHMIR TRADING CO."/>
      <sheetName val="SIKANDAR KHAN"/>
      <sheetName val="ROYAL PETRO"/>
      <sheetName val="LIABILTY SHEET 01-03-2024 01"/>
      <sheetName val="LIABILTY SHEET 07-02-24"/>
      <sheetName val="M ALI DEVELOPERS FITTINGS"/>
      <sheetName val="SHARP ALUMINIUM"/>
      <sheetName val="REHMAN"/>
      <sheetName val="RAHIM KHAN "/>
      <sheetName val="MR ZEESHAN"/>
      <sheetName val="FAIZULLAH"/>
      <sheetName val="GEO SOLUTIONS 01"/>
      <sheetName val="DECORA "/>
      <sheetName val="DECORA PLASTIC"/>
      <sheetName val="MIX- PAK &amp; PAKISTAN STEEL MILLS"/>
      <sheetName val="PAKISTAN STEEL MILL"/>
      <sheetName val="PAK STEEL RE ROLLING"/>
      <sheetName val="SHALIMAR ENTERPRISES RUBBER RIN"/>
      <sheetName val="HAJI RABNAWAZ"/>
      <sheetName val="SHALIMAR PIPE INDUSTRY"/>
      <sheetName val="BINDING WIRE SHAN DIS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9">
          <cell r="J29">
            <v>90430.083828346193</v>
          </cell>
        </row>
        <row r="30">
          <cell r="J30">
            <v>110214.25707334654</v>
          </cell>
        </row>
        <row r="119">
          <cell r="J119">
            <v>860</v>
          </cell>
        </row>
        <row r="122">
          <cell r="J122">
            <v>800.74639999999999</v>
          </cell>
        </row>
        <row r="156">
          <cell r="J156">
            <v>548.8424</v>
          </cell>
        </row>
        <row r="169">
          <cell r="J169">
            <v>2441.2711999999997</v>
          </cell>
        </row>
        <row r="315">
          <cell r="J315">
            <v>6695.2950000000001</v>
          </cell>
        </row>
        <row r="318">
          <cell r="J318">
            <v>11054.005350877194</v>
          </cell>
        </row>
        <row r="326">
          <cell r="J326">
            <v>2086.2057500000001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25">
          <cell r="I25">
            <v>18222</v>
          </cell>
        </row>
        <row r="26">
          <cell r="I26">
            <v>19958</v>
          </cell>
        </row>
        <row r="27">
          <cell r="I27">
            <v>9940</v>
          </cell>
        </row>
        <row r="51">
          <cell r="I51">
            <v>23650</v>
          </cell>
        </row>
        <row r="68">
          <cell r="I68">
            <v>101123</v>
          </cell>
        </row>
        <row r="70">
          <cell r="I70">
            <v>168720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C73D-5FAD-4477-848C-D29A138B9940}">
  <sheetPr>
    <pageSetUpPr fitToPage="1"/>
  </sheetPr>
  <dimension ref="A1:X44"/>
  <sheetViews>
    <sheetView tabSelected="1" view="pageBreakPreview" topLeftCell="A4" zoomScale="60" zoomScaleNormal="70" workbookViewId="0">
      <selection activeCell="B23" sqref="B23"/>
    </sheetView>
  </sheetViews>
  <sheetFormatPr defaultRowHeight="15" x14ac:dyDescent="0.25"/>
  <cols>
    <col min="1" max="1" width="6.7109375" customWidth="1"/>
    <col min="2" max="2" width="38.7109375" customWidth="1"/>
    <col min="3" max="3" width="10.7109375" customWidth="1"/>
    <col min="4" max="4" width="15" customWidth="1"/>
    <col min="5" max="6" width="13.7109375" customWidth="1"/>
    <col min="7" max="7" width="10" customWidth="1"/>
    <col min="8" max="8" width="22.5703125" customWidth="1"/>
    <col min="9" max="9" width="11.85546875" customWidth="1"/>
    <col min="10" max="10" width="10" bestFit="1" customWidth="1"/>
    <col min="12" max="12" width="9.140625" customWidth="1"/>
    <col min="14" max="14" width="8.7109375" bestFit="1" customWidth="1"/>
    <col min="15" max="15" width="5.7109375" bestFit="1" customWidth="1"/>
    <col min="16" max="16" width="6.28515625" customWidth="1"/>
    <col min="17" max="17" width="11.7109375" bestFit="1" customWidth="1"/>
    <col min="18" max="18" width="9.7109375" customWidth="1"/>
    <col min="19" max="19" width="9.85546875" customWidth="1"/>
    <col min="20" max="20" width="10.85546875" customWidth="1"/>
    <col min="21" max="21" width="14.42578125" customWidth="1"/>
    <col min="23" max="23" width="13.140625" bestFit="1" customWidth="1"/>
  </cols>
  <sheetData>
    <row r="1" spans="1:24" ht="32.25" customHeight="1" thickTop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24" ht="24" customHeight="1" thickTop="1" thickBot="1" x14ac:dyDescent="0.3">
      <c r="A2" s="4" t="s">
        <v>1</v>
      </c>
      <c r="B2" s="5"/>
      <c r="C2" s="5"/>
      <c r="D2" s="5"/>
      <c r="E2" s="6">
        <v>46203</v>
      </c>
      <c r="F2" s="6"/>
      <c r="G2" s="6"/>
      <c r="H2" s="6"/>
      <c r="I2" s="7"/>
    </row>
    <row r="3" spans="1:24" ht="32.25" customHeight="1" thickTop="1" thickBot="1" x14ac:dyDescent="0.3">
      <c r="A3" s="8" t="s">
        <v>2</v>
      </c>
      <c r="B3" s="8" t="s">
        <v>3</v>
      </c>
      <c r="C3" s="8" t="s">
        <v>4</v>
      </c>
      <c r="D3" s="9" t="s">
        <v>5</v>
      </c>
      <c r="E3" s="10" t="s">
        <v>6</v>
      </c>
      <c r="F3" s="9" t="s">
        <v>7</v>
      </c>
      <c r="G3" s="9" t="s">
        <v>8</v>
      </c>
      <c r="H3" s="9" t="s">
        <v>9</v>
      </c>
      <c r="I3" s="11"/>
    </row>
    <row r="4" spans="1:24" ht="24.95" customHeight="1" thickTop="1" x14ac:dyDescent="0.25">
      <c r="A4" s="12">
        <v>1</v>
      </c>
      <c r="B4" s="13" t="s">
        <v>10</v>
      </c>
      <c r="C4" s="14" t="s">
        <v>11</v>
      </c>
      <c r="D4" s="14">
        <f>558</f>
        <v>558</v>
      </c>
      <c r="E4" s="14">
        <f>486</f>
        <v>486</v>
      </c>
      <c r="F4" s="15">
        <f>D4-E4</f>
        <v>72</v>
      </c>
      <c r="G4" s="15">
        <v>2406</v>
      </c>
      <c r="H4" s="16">
        <f>F4*G4</f>
        <v>173232</v>
      </c>
      <c r="I4" s="17"/>
    </row>
    <row r="5" spans="1:24" ht="24.95" customHeight="1" x14ac:dyDescent="0.25">
      <c r="A5" s="18">
        <f>A4+1</f>
        <v>2</v>
      </c>
      <c r="B5" s="19" t="s">
        <v>12</v>
      </c>
      <c r="C5" s="20" t="s">
        <v>11</v>
      </c>
      <c r="D5" s="20">
        <f>480</f>
        <v>480</v>
      </c>
      <c r="E5" s="20">
        <f>192</f>
        <v>192</v>
      </c>
      <c r="F5" s="20">
        <f>D5-E5</f>
        <v>288</v>
      </c>
      <c r="G5" s="20">
        <v>3752</v>
      </c>
      <c r="H5" s="16">
        <f t="shared" ref="H5:H43" si="0">F5*G5</f>
        <v>1080576</v>
      </c>
      <c r="I5" s="21"/>
    </row>
    <row r="6" spans="1:24" ht="24.95" customHeight="1" x14ac:dyDescent="0.25">
      <c r="A6" s="18">
        <f>A5+1</f>
        <v>3</v>
      </c>
      <c r="B6" s="19" t="s">
        <v>13</v>
      </c>
      <c r="C6" s="20" t="s">
        <v>11</v>
      </c>
      <c r="D6" s="20">
        <f>1356</f>
        <v>1356</v>
      </c>
      <c r="E6" s="20">
        <f>1020+144</f>
        <v>1164</v>
      </c>
      <c r="F6" s="20">
        <f>D6-E6</f>
        <v>192</v>
      </c>
      <c r="G6" s="22">
        <v>9002</v>
      </c>
      <c r="H6" s="16">
        <f t="shared" si="0"/>
        <v>1728384</v>
      </c>
      <c r="I6" s="23"/>
    </row>
    <row r="7" spans="1:24" ht="24.95" customHeight="1" x14ac:dyDescent="0.25">
      <c r="A7" s="18">
        <f>A6+1</f>
        <v>4</v>
      </c>
      <c r="B7" s="19" t="s">
        <v>14</v>
      </c>
      <c r="C7" s="20" t="s">
        <v>11</v>
      </c>
      <c r="D7" s="20">
        <f>276</f>
        <v>276</v>
      </c>
      <c r="E7" s="20">
        <f>216</f>
        <v>216</v>
      </c>
      <c r="F7" s="20">
        <f>D7-E7</f>
        <v>60</v>
      </c>
      <c r="G7" s="24">
        <v>29089</v>
      </c>
      <c r="H7" s="16">
        <f t="shared" si="0"/>
        <v>1745340</v>
      </c>
      <c r="I7" s="17"/>
    </row>
    <row r="8" spans="1:24" ht="24.95" customHeight="1" x14ac:dyDescent="0.25">
      <c r="A8" s="25">
        <f t="shared" ref="A8:A43" si="1">A7+1</f>
        <v>5</v>
      </c>
      <c r="B8" s="19" t="s">
        <v>15</v>
      </c>
      <c r="C8" s="20" t="s">
        <v>11</v>
      </c>
      <c r="D8" s="20">
        <f>120</f>
        <v>120</v>
      </c>
      <c r="E8" s="20">
        <f>120</f>
        <v>120</v>
      </c>
      <c r="F8" s="20">
        <f t="shared" ref="F8:F41" si="2">D8-E8</f>
        <v>0</v>
      </c>
      <c r="G8" s="26">
        <v>46821</v>
      </c>
      <c r="H8" s="16">
        <f>G8*F8</f>
        <v>0</v>
      </c>
      <c r="I8" s="23"/>
      <c r="K8" s="27" t="s">
        <v>16</v>
      </c>
      <c r="L8" s="27" t="s">
        <v>17</v>
      </c>
      <c r="M8" s="27" t="s">
        <v>18</v>
      </c>
      <c r="N8" s="27" t="s">
        <v>19</v>
      </c>
      <c r="O8" s="27" t="s">
        <v>20</v>
      </c>
      <c r="P8" s="27" t="s">
        <v>21</v>
      </c>
      <c r="Q8" s="27" t="s">
        <v>22</v>
      </c>
      <c r="R8" s="27" t="s">
        <v>23</v>
      </c>
      <c r="S8" s="27" t="s">
        <v>24</v>
      </c>
      <c r="T8" s="27" t="s">
        <v>25</v>
      </c>
      <c r="U8" s="27" t="s">
        <v>26</v>
      </c>
      <c r="V8" s="28" t="s">
        <v>27</v>
      </c>
      <c r="X8" s="27"/>
    </row>
    <row r="9" spans="1:24" ht="24.95" customHeight="1" x14ac:dyDescent="0.25">
      <c r="A9" s="25">
        <f t="shared" si="1"/>
        <v>6</v>
      </c>
      <c r="B9" s="19" t="s">
        <v>28</v>
      </c>
      <c r="C9" s="20" t="s">
        <v>11</v>
      </c>
      <c r="D9" s="20">
        <f>96</f>
        <v>96</v>
      </c>
      <c r="E9" s="20">
        <f>84</f>
        <v>84</v>
      </c>
      <c r="F9" s="24">
        <f>D9-E9</f>
        <v>12</v>
      </c>
      <c r="G9" s="20">
        <v>59370</v>
      </c>
      <c r="H9" s="16">
        <f>G9*F9</f>
        <v>712440</v>
      </c>
      <c r="I9" s="17"/>
      <c r="K9">
        <v>3</v>
      </c>
      <c r="L9">
        <v>12</v>
      </c>
      <c r="N9">
        <v>20</v>
      </c>
      <c r="O9">
        <v>3</v>
      </c>
      <c r="P9">
        <v>3</v>
      </c>
      <c r="R9" s="29">
        <v>297.31</v>
      </c>
      <c r="S9">
        <v>469.82</v>
      </c>
      <c r="T9">
        <v>29.6</v>
      </c>
      <c r="X9" s="27"/>
    </row>
    <row r="10" spans="1:24" ht="24.95" customHeight="1" x14ac:dyDescent="0.25">
      <c r="A10" s="25">
        <f t="shared" si="1"/>
        <v>7</v>
      </c>
      <c r="B10" s="19" t="s">
        <v>29</v>
      </c>
      <c r="C10" s="20" t="s">
        <v>11</v>
      </c>
      <c r="D10" s="20">
        <f>235.007</f>
        <v>235.00700000000001</v>
      </c>
      <c r="E10" s="20">
        <f>223.007</f>
        <v>223.00700000000001</v>
      </c>
      <c r="F10" s="24">
        <f t="shared" si="2"/>
        <v>12</v>
      </c>
      <c r="G10" s="30">
        <f>'[1]ALPHA PIPE'!$J$29</f>
        <v>90430.083828346193</v>
      </c>
      <c r="H10" s="16">
        <f t="shared" si="0"/>
        <v>1085161.0059401542</v>
      </c>
      <c r="I10" s="17"/>
      <c r="K10" s="27"/>
      <c r="M10" s="27"/>
      <c r="P10" s="27"/>
      <c r="Q10" s="27"/>
      <c r="R10" s="27">
        <v>834.73</v>
      </c>
      <c r="S10" s="27"/>
      <c r="T10" s="27"/>
      <c r="U10" s="31"/>
      <c r="V10" s="28"/>
      <c r="W10" s="32"/>
    </row>
    <row r="11" spans="1:24" ht="24" customHeight="1" x14ac:dyDescent="0.25">
      <c r="A11" s="25">
        <f t="shared" si="1"/>
        <v>8</v>
      </c>
      <c r="B11" s="19" t="s">
        <v>30</v>
      </c>
      <c r="C11" s="20" t="s">
        <v>11</v>
      </c>
      <c r="D11" s="20">
        <f>920.041</f>
        <v>920.04100000000005</v>
      </c>
      <c r="E11" s="20">
        <f>824.041</f>
        <v>824.04100000000005</v>
      </c>
      <c r="F11" s="24">
        <f t="shared" si="2"/>
        <v>96</v>
      </c>
      <c r="G11" s="30">
        <f>'[1]ALPHA PIPE'!$J$30</f>
        <v>110214.25707334654</v>
      </c>
      <c r="H11" s="16">
        <f t="shared" si="0"/>
        <v>10580568.679041268</v>
      </c>
      <c r="I11" s="17"/>
      <c r="P11" s="27"/>
      <c r="R11">
        <v>609.53</v>
      </c>
      <c r="S11" s="27"/>
      <c r="U11" s="33"/>
    </row>
    <row r="12" spans="1:24" ht="26.25" customHeight="1" x14ac:dyDescent="0.25">
      <c r="A12" s="25">
        <f t="shared" si="1"/>
        <v>9</v>
      </c>
      <c r="B12" s="19" t="s">
        <v>31</v>
      </c>
      <c r="C12" s="20" t="s">
        <v>11</v>
      </c>
      <c r="D12" s="20">
        <f>1334</f>
        <v>1334</v>
      </c>
      <c r="E12" s="20">
        <f>972+42+30+6+12+24+6+6+6+102+24+6+12+18+30+6+6+4+4+12+6</f>
        <v>1334</v>
      </c>
      <c r="F12" s="24">
        <f t="shared" si="2"/>
        <v>0</v>
      </c>
      <c r="G12" s="30">
        <f>'[1]ALPHA PIPE'!$J$156</f>
        <v>548.8424</v>
      </c>
      <c r="H12" s="16">
        <f t="shared" si="0"/>
        <v>0</v>
      </c>
      <c r="I12" s="17"/>
      <c r="P12" s="27"/>
      <c r="R12" s="27"/>
      <c r="S12" s="27"/>
      <c r="T12" s="27"/>
      <c r="U12" s="31"/>
    </row>
    <row r="13" spans="1:24" ht="24.95" customHeight="1" x14ac:dyDescent="0.25">
      <c r="A13" s="25">
        <f t="shared" si="1"/>
        <v>10</v>
      </c>
      <c r="B13" s="19" t="s">
        <v>32</v>
      </c>
      <c r="C13" s="20" t="s">
        <v>11</v>
      </c>
      <c r="D13" s="20">
        <f>1002</f>
        <v>1002</v>
      </c>
      <c r="E13" s="20">
        <f>930+66+6</f>
        <v>1002</v>
      </c>
      <c r="F13" s="24">
        <f>D13-E13</f>
        <v>0</v>
      </c>
      <c r="G13" s="30">
        <f>+'[1]ALPHA PIPE'!$J$122</f>
        <v>800.74639999999999</v>
      </c>
      <c r="H13" s="16">
        <f t="shared" si="0"/>
        <v>0</v>
      </c>
      <c r="I13" s="34"/>
      <c r="J13">
        <v>368.28</v>
      </c>
      <c r="P13" s="27"/>
      <c r="R13" s="27"/>
      <c r="S13" s="27"/>
      <c r="T13" s="27"/>
      <c r="U13" s="31"/>
    </row>
    <row r="14" spans="1:24" ht="24.95" customHeight="1" x14ac:dyDescent="0.25">
      <c r="A14" s="25">
        <f t="shared" si="1"/>
        <v>11</v>
      </c>
      <c r="B14" s="19" t="s">
        <v>33</v>
      </c>
      <c r="C14" s="20" t="s">
        <v>11</v>
      </c>
      <c r="D14" s="20">
        <f>53132+306+558+378+240</f>
        <v>54614</v>
      </c>
      <c r="E14" s="20">
        <f>52124+150+294+24+12+120+18+12+246+18+132+60+66+132+12+60+60+144+18</f>
        <v>53702</v>
      </c>
      <c r="F14" s="24">
        <f>D14-E14</f>
        <v>912</v>
      </c>
      <c r="G14" s="30">
        <f>+'[1]ALPHA PIPE'!$J$326</f>
        <v>2086.2057500000001</v>
      </c>
      <c r="H14" s="16">
        <f t="shared" si="0"/>
        <v>1902619.6440000001</v>
      </c>
      <c r="I14" s="17"/>
      <c r="J14" s="35"/>
      <c r="K14" s="36">
        <f>K9*6</f>
        <v>18</v>
      </c>
      <c r="L14" s="36">
        <f>L9*6</f>
        <v>72</v>
      </c>
      <c r="M14" s="36">
        <f>M9*6</f>
        <v>0</v>
      </c>
      <c r="P14" s="27"/>
      <c r="R14" s="27"/>
      <c r="S14" s="27"/>
      <c r="T14" s="27"/>
      <c r="U14" s="31"/>
    </row>
    <row r="15" spans="1:24" ht="24.95" customHeight="1" x14ac:dyDescent="0.25">
      <c r="A15" s="25">
        <f t="shared" si="1"/>
        <v>12</v>
      </c>
      <c r="B15" s="19" t="s">
        <v>34</v>
      </c>
      <c r="C15" s="20" t="s">
        <v>11</v>
      </c>
      <c r="D15" s="20">
        <f>100</f>
        <v>100</v>
      </c>
      <c r="E15" s="20">
        <f>100</f>
        <v>100</v>
      </c>
      <c r="F15" s="24">
        <f t="shared" si="2"/>
        <v>0</v>
      </c>
      <c r="G15" s="30">
        <f>+'[1]ALPHA PIPE'!$J$169</f>
        <v>2441.2711999999997</v>
      </c>
      <c r="H15" s="16">
        <f t="shared" si="0"/>
        <v>0</v>
      </c>
      <c r="I15" s="23"/>
      <c r="R15" s="27">
        <f>80*19.69</f>
        <v>1575.2</v>
      </c>
      <c r="T15" s="37"/>
      <c r="U15" s="31"/>
    </row>
    <row r="16" spans="1:24" ht="20.25" customHeight="1" x14ac:dyDescent="0.25">
      <c r="A16" s="25">
        <f t="shared" si="1"/>
        <v>13</v>
      </c>
      <c r="B16" s="19" t="s">
        <v>35</v>
      </c>
      <c r="C16" s="20" t="s">
        <v>11</v>
      </c>
      <c r="D16" s="20">
        <v>7290</v>
      </c>
      <c r="E16" s="20">
        <f>6624+222+84+84+156+102+6+6+6</f>
        <v>7290</v>
      </c>
      <c r="F16" s="24">
        <f>D16-E16</f>
        <v>0</v>
      </c>
      <c r="G16" s="30">
        <f>+'[1]ALPHA PIPE'!$J$169</f>
        <v>2441.2711999999997</v>
      </c>
      <c r="H16" s="16">
        <f t="shared" si="0"/>
        <v>0</v>
      </c>
      <c r="I16" s="17"/>
      <c r="M16" s="38"/>
      <c r="R16" s="27">
        <f>35*19.69</f>
        <v>689.15000000000009</v>
      </c>
      <c r="T16" s="37"/>
      <c r="U16" s="27"/>
    </row>
    <row r="17" spans="1:21" ht="24.95" customHeight="1" x14ac:dyDescent="0.25">
      <c r="A17" s="25">
        <f t="shared" si="1"/>
        <v>14</v>
      </c>
      <c r="B17" s="19" t="s">
        <v>36</v>
      </c>
      <c r="C17" s="20" t="s">
        <v>11</v>
      </c>
      <c r="D17" s="20">
        <f>67310+210+414+444+419+429+622+108+432+204+198+204+210+438+432+420</f>
        <v>72494</v>
      </c>
      <c r="E17" s="20">
        <f>66482+126+318+276+366+84+588+36+42+156+84+126+72+84+84+132+42+60+360+24+246+42+48+60+168+48+42+204+144+6+162+162+72</f>
        <v>70946</v>
      </c>
      <c r="F17" s="24">
        <f>D17-E17</f>
        <v>1548</v>
      </c>
      <c r="G17" s="30">
        <f>+'[1]ALPHA PIPE'!$J$315</f>
        <v>6695.2950000000001</v>
      </c>
      <c r="H17" s="16">
        <f t="shared" si="0"/>
        <v>10364316.66</v>
      </c>
      <c r="I17" s="17"/>
      <c r="J17" s="39">
        <f>F14/6</f>
        <v>152</v>
      </c>
      <c r="L17" s="27"/>
      <c r="M17" s="40">
        <f>F17/6</f>
        <v>258</v>
      </c>
      <c r="R17" s="27"/>
      <c r="T17" s="37"/>
      <c r="U17" s="31"/>
    </row>
    <row r="18" spans="1:21" ht="24.95" customHeight="1" x14ac:dyDescent="0.25">
      <c r="A18" s="25">
        <f t="shared" si="1"/>
        <v>15</v>
      </c>
      <c r="B18" s="19" t="s">
        <v>37</v>
      </c>
      <c r="C18" s="20" t="s">
        <v>11</v>
      </c>
      <c r="D18" s="20">
        <f>570+78+120+114+114</f>
        <v>996</v>
      </c>
      <c r="E18" s="20">
        <f>546+6+6+60+30+30+30+30+30+30+30+30</f>
        <v>858</v>
      </c>
      <c r="F18" s="24">
        <f t="shared" si="2"/>
        <v>138</v>
      </c>
      <c r="G18" s="30">
        <f>+'[1]ALPHA PIPE'!$J$318</f>
        <v>11054.005350877194</v>
      </c>
      <c r="H18" s="16">
        <f t="shared" si="0"/>
        <v>1525452.7384210529</v>
      </c>
      <c r="I18" s="23"/>
      <c r="M18" s="41">
        <f>M17-M16</f>
        <v>258</v>
      </c>
      <c r="R18" s="27"/>
      <c r="T18" s="37"/>
    </row>
    <row r="19" spans="1:21" ht="24.95" customHeight="1" x14ac:dyDescent="0.25">
      <c r="A19" s="25">
        <f t="shared" si="1"/>
        <v>16</v>
      </c>
      <c r="B19" s="19" t="s">
        <v>38</v>
      </c>
      <c r="C19" s="20" t="s">
        <v>39</v>
      </c>
      <c r="D19" s="20">
        <f>6298</f>
        <v>6298</v>
      </c>
      <c r="E19" s="20">
        <f>6298</f>
        <v>6298</v>
      </c>
      <c r="F19" s="24">
        <f>D19-E19</f>
        <v>0</v>
      </c>
      <c r="G19" s="30">
        <f>'[1]ALPHA PIPE'!$J$119</f>
        <v>860</v>
      </c>
      <c r="H19" s="16">
        <f t="shared" si="0"/>
        <v>0</v>
      </c>
      <c r="I19" s="17"/>
      <c r="K19" s="42" t="s">
        <v>40</v>
      </c>
      <c r="L19" s="43">
        <f>F16/6</f>
        <v>0</v>
      </c>
      <c r="R19" s="27"/>
      <c r="T19" s="37"/>
    </row>
    <row r="20" spans="1:21" ht="24.95" customHeight="1" x14ac:dyDescent="0.25">
      <c r="A20" s="25">
        <f t="shared" si="1"/>
        <v>17</v>
      </c>
      <c r="B20" s="19" t="s">
        <v>41</v>
      </c>
      <c r="C20" s="20" t="s">
        <v>39</v>
      </c>
      <c r="D20" s="20">
        <f>98</f>
        <v>98</v>
      </c>
      <c r="E20" s="20">
        <f>48+2+2+6+10+2+2+3+2</f>
        <v>77</v>
      </c>
      <c r="F20" s="24">
        <f>D20-E20</f>
        <v>21</v>
      </c>
      <c r="G20" s="20">
        <v>12625</v>
      </c>
      <c r="H20" s="16">
        <f t="shared" si="0"/>
        <v>265125</v>
      </c>
      <c r="I20" s="17"/>
      <c r="K20" s="42"/>
      <c r="L20" s="43"/>
      <c r="T20" s="37"/>
    </row>
    <row r="21" spans="1:21" ht="25.5" customHeight="1" x14ac:dyDescent="0.25">
      <c r="A21" s="25">
        <f t="shared" si="1"/>
        <v>18</v>
      </c>
      <c r="B21" s="19" t="s">
        <v>42</v>
      </c>
      <c r="C21" s="20" t="s">
        <v>39</v>
      </c>
      <c r="D21" s="20">
        <f>294+7</f>
        <v>301</v>
      </c>
      <c r="E21" s="20">
        <f>292+7</f>
        <v>299</v>
      </c>
      <c r="F21" s="24">
        <f>D21-E21</f>
        <v>2</v>
      </c>
      <c r="G21" s="20">
        <v>15400</v>
      </c>
      <c r="H21" s="16">
        <f t="shared" si="0"/>
        <v>30800</v>
      </c>
      <c r="I21" s="17"/>
      <c r="K21" s="42"/>
      <c r="L21" s="43"/>
      <c r="T21" s="37"/>
    </row>
    <row r="22" spans="1:21" ht="19.5" customHeight="1" x14ac:dyDescent="0.25">
      <c r="A22" s="25">
        <v>19</v>
      </c>
      <c r="B22" s="19" t="s">
        <v>43</v>
      </c>
      <c r="C22" s="20" t="s">
        <v>39</v>
      </c>
      <c r="D22" s="20">
        <f>2+39+61+20+25+15+30+40+10</f>
        <v>242</v>
      </c>
      <c r="E22" s="20">
        <f>2+90+70+35+13+7+7</f>
        <v>224</v>
      </c>
      <c r="F22" s="24">
        <f>D22-E22</f>
        <v>18</v>
      </c>
      <c r="G22" s="20">
        <v>19537</v>
      </c>
      <c r="H22" s="16">
        <f t="shared" si="0"/>
        <v>351666</v>
      </c>
      <c r="I22" s="17"/>
      <c r="K22" s="42"/>
      <c r="L22" s="43"/>
      <c r="T22" s="37"/>
    </row>
    <row r="23" spans="1:21" ht="24.95" customHeight="1" x14ac:dyDescent="0.25">
      <c r="A23" s="25">
        <v>20</v>
      </c>
      <c r="B23" s="19" t="s">
        <v>44</v>
      </c>
      <c r="C23" s="20" t="s">
        <v>39</v>
      </c>
      <c r="D23" s="20">
        <f>368+30+60+36+48+48+18+12+6+6+6</f>
        <v>638</v>
      </c>
      <c r="E23" s="20">
        <f>212+78+40+30+29+80+18+20+79+20+6</f>
        <v>612</v>
      </c>
      <c r="F23" s="24">
        <f t="shared" si="2"/>
        <v>26</v>
      </c>
      <c r="G23" s="20">
        <v>26650</v>
      </c>
      <c r="H23" s="16">
        <f t="shared" si="0"/>
        <v>692900</v>
      </c>
      <c r="I23" s="17"/>
      <c r="K23" s="42"/>
      <c r="L23" s="43">
        <f>F15/4</f>
        <v>0</v>
      </c>
      <c r="T23" s="37"/>
    </row>
    <row r="24" spans="1:21" ht="24.95" customHeight="1" x14ac:dyDescent="0.25">
      <c r="A24" s="25">
        <v>21</v>
      </c>
      <c r="B24" s="19" t="s">
        <v>45</v>
      </c>
      <c r="C24" s="20" t="s">
        <v>39</v>
      </c>
      <c r="D24" s="20">
        <f>325</f>
        <v>325</v>
      </c>
      <c r="E24" s="20">
        <f>314</f>
        <v>314</v>
      </c>
      <c r="F24" s="24">
        <f t="shared" si="2"/>
        <v>11</v>
      </c>
      <c r="G24" s="20">
        <v>37900</v>
      </c>
      <c r="H24" s="16">
        <f t="shared" si="0"/>
        <v>416900</v>
      </c>
      <c r="I24" s="17">
        <f>1012800/25</f>
        <v>40512</v>
      </c>
      <c r="K24" s="42"/>
      <c r="L24" s="44">
        <f>SUM(L19:L23)</f>
        <v>0</v>
      </c>
      <c r="T24" s="37"/>
    </row>
    <row r="25" spans="1:21" ht="24.95" customHeight="1" x14ac:dyDescent="0.25">
      <c r="A25" s="25">
        <v>22</v>
      </c>
      <c r="B25" s="64" t="s">
        <v>46</v>
      </c>
      <c r="C25" s="65" t="s">
        <v>39</v>
      </c>
      <c r="D25" s="65">
        <f>2247+50+200+255+286+216+250+250+253</f>
        <v>4007</v>
      </c>
      <c r="E25" s="65">
        <f>3490+4+2+4+46+57+18+3+9+16+7+6+15+6+7+11+7+12+14+7+5+8+1+5+6+8+8+26+5+23+8+4+4+9+2+14+3+3</f>
        <v>3883</v>
      </c>
      <c r="F25" s="66">
        <f t="shared" si="2"/>
        <v>124</v>
      </c>
      <c r="G25" s="65">
        <v>2000</v>
      </c>
      <c r="H25" s="67">
        <f t="shared" si="0"/>
        <v>248000</v>
      </c>
      <c r="I25" s="17"/>
      <c r="T25" s="37"/>
    </row>
    <row r="26" spans="1:21" ht="24.95" customHeight="1" x14ac:dyDescent="0.25">
      <c r="A26" s="25">
        <v>23</v>
      </c>
      <c r="B26" s="68" t="s">
        <v>47</v>
      </c>
      <c r="C26" s="69" t="s">
        <v>39</v>
      </c>
      <c r="D26" s="69">
        <f>3106-3000+100+50+50</f>
        <v>306</v>
      </c>
      <c r="E26" s="69">
        <f>246+2+1+1+1+4+2+3+1+2+2</f>
        <v>265</v>
      </c>
      <c r="F26" s="70">
        <f t="shared" si="2"/>
        <v>41</v>
      </c>
      <c r="G26" s="69"/>
      <c r="H26" s="71">
        <f t="shared" si="0"/>
        <v>0</v>
      </c>
      <c r="I26" s="17"/>
      <c r="T26" s="37"/>
    </row>
    <row r="27" spans="1:21" ht="24.95" customHeight="1" x14ac:dyDescent="0.25">
      <c r="A27" s="25">
        <v>24</v>
      </c>
      <c r="B27" s="72" t="s">
        <v>48</v>
      </c>
      <c r="C27" s="73" t="s">
        <v>39</v>
      </c>
      <c r="D27" s="73">
        <f>1643+350+250+250+255+286+250+250+250+253</f>
        <v>4037</v>
      </c>
      <c r="E27" s="73">
        <f>3477+7+10+5+2+9+20+20+49+12+3+1+16+5+4+9+6+10+8+6+6+6+2+20+10+23+8+6+19+2+4+14+4+2+16+3+2+3</f>
        <v>3829</v>
      </c>
      <c r="F27" s="74">
        <f t="shared" si="2"/>
        <v>208</v>
      </c>
      <c r="G27" s="73">
        <v>5000</v>
      </c>
      <c r="H27" s="75">
        <f t="shared" si="0"/>
        <v>1040000</v>
      </c>
      <c r="I27" s="17"/>
      <c r="Q27" t="s">
        <v>49</v>
      </c>
      <c r="T27" s="37"/>
    </row>
    <row r="28" spans="1:21" ht="19.5" customHeight="1" x14ac:dyDescent="0.25">
      <c r="A28" s="25">
        <v>25</v>
      </c>
      <c r="B28" s="68" t="s">
        <v>50</v>
      </c>
      <c r="C28" s="69" t="s">
        <v>39</v>
      </c>
      <c r="D28" s="69">
        <f>106+100+50+50</f>
        <v>306</v>
      </c>
      <c r="E28" s="69">
        <f>239+2+1+1+4+2+3+1+2+3+2+4+1+1+1</f>
        <v>267</v>
      </c>
      <c r="F28" s="70">
        <f t="shared" si="2"/>
        <v>39</v>
      </c>
      <c r="G28" s="69"/>
      <c r="H28" s="71">
        <f t="shared" si="0"/>
        <v>0</v>
      </c>
      <c r="I28" s="17"/>
      <c r="T28" s="37"/>
    </row>
    <row r="29" spans="1:21" ht="21" customHeight="1" x14ac:dyDescent="0.25">
      <c r="A29" s="25">
        <v>26</v>
      </c>
      <c r="B29" s="68" t="s">
        <v>51</v>
      </c>
      <c r="C29" s="69" t="s">
        <v>52</v>
      </c>
      <c r="D29" s="69">
        <f>20237</f>
        <v>20237</v>
      </c>
      <c r="E29" s="69">
        <f>18040+100+200+200+100+100+80+1000+100</f>
        <v>19920</v>
      </c>
      <c r="F29" s="70">
        <f t="shared" si="2"/>
        <v>317</v>
      </c>
      <c r="G29" s="69"/>
      <c r="H29" s="71">
        <f t="shared" si="0"/>
        <v>0</v>
      </c>
      <c r="I29" s="17"/>
      <c r="T29" s="37"/>
    </row>
    <row r="30" spans="1:21" ht="24.95" customHeight="1" x14ac:dyDescent="0.25">
      <c r="A30" s="25">
        <v>27</v>
      </c>
      <c r="B30" s="45" t="s">
        <v>53</v>
      </c>
      <c r="C30" s="20" t="s">
        <v>39</v>
      </c>
      <c r="D30" s="20">
        <f>24</f>
        <v>24</v>
      </c>
      <c r="E30" s="20">
        <f>24</f>
        <v>24</v>
      </c>
      <c r="F30" s="24">
        <v>0</v>
      </c>
      <c r="G30" s="30">
        <f>'[1]M ALI DEVELOPERS FITTINGS'!$I$25</f>
        <v>18222</v>
      </c>
      <c r="H30" s="16">
        <f t="shared" si="0"/>
        <v>0</v>
      </c>
      <c r="I30" s="23"/>
      <c r="T30" s="37"/>
    </row>
    <row r="31" spans="1:21" ht="24.95" customHeight="1" x14ac:dyDescent="0.25">
      <c r="A31" s="25">
        <v>28</v>
      </c>
      <c r="B31" s="45" t="s">
        <v>54</v>
      </c>
      <c r="C31" s="20" t="s">
        <v>39</v>
      </c>
      <c r="D31" s="20">
        <f>4</f>
        <v>4</v>
      </c>
      <c r="E31" s="20">
        <f>3</f>
        <v>3</v>
      </c>
      <c r="F31" s="24">
        <f t="shared" si="2"/>
        <v>1</v>
      </c>
      <c r="G31" s="30">
        <f>+'[1]M ALI DEVELOPERS FITTINGS'!$I$26</f>
        <v>19958</v>
      </c>
      <c r="H31" s="16">
        <f t="shared" si="0"/>
        <v>19958</v>
      </c>
      <c r="I31" s="23"/>
      <c r="T31" s="37"/>
    </row>
    <row r="32" spans="1:21" ht="24.95" customHeight="1" x14ac:dyDescent="0.25">
      <c r="A32" s="25">
        <f t="shared" si="1"/>
        <v>29</v>
      </c>
      <c r="B32" s="45" t="s">
        <v>55</v>
      </c>
      <c r="C32" s="20" t="s">
        <v>39</v>
      </c>
      <c r="D32" s="20">
        <f>9</f>
        <v>9</v>
      </c>
      <c r="E32" s="20">
        <f>7+1</f>
        <v>8</v>
      </c>
      <c r="F32" s="24">
        <f t="shared" si="2"/>
        <v>1</v>
      </c>
      <c r="G32" s="30">
        <f>+'[1]M ALI DEVELOPERS FITTINGS'!$I$51</f>
        <v>23650</v>
      </c>
      <c r="H32" s="16">
        <f t="shared" si="0"/>
        <v>23650</v>
      </c>
      <c r="I32" s="23"/>
      <c r="T32" s="37"/>
    </row>
    <row r="33" spans="1:22" ht="24.95" customHeight="1" x14ac:dyDescent="0.25">
      <c r="A33" s="25">
        <f t="shared" si="1"/>
        <v>30</v>
      </c>
      <c r="B33" s="45" t="s">
        <v>56</v>
      </c>
      <c r="C33" s="20" t="s">
        <v>39</v>
      </c>
      <c r="D33" s="20">
        <f>3</f>
        <v>3</v>
      </c>
      <c r="E33" s="20">
        <f>3</f>
        <v>3</v>
      </c>
      <c r="F33" s="24">
        <f t="shared" si="2"/>
        <v>0</v>
      </c>
      <c r="G33" s="30">
        <f>+'[1]M ALI DEVELOPERS FITTINGS'!$I$27</f>
        <v>9940</v>
      </c>
      <c r="H33" s="16">
        <f t="shared" si="0"/>
        <v>0</v>
      </c>
      <c r="I33" s="23"/>
      <c r="T33" s="37"/>
    </row>
    <row r="34" spans="1:22" ht="24.95" customHeight="1" x14ac:dyDescent="0.25">
      <c r="A34" s="25">
        <f t="shared" si="1"/>
        <v>31</v>
      </c>
      <c r="B34" s="45" t="s">
        <v>57</v>
      </c>
      <c r="C34" s="20" t="s">
        <v>39</v>
      </c>
      <c r="D34" s="20">
        <f>14</f>
        <v>14</v>
      </c>
      <c r="E34" s="20">
        <f>14</f>
        <v>14</v>
      </c>
      <c r="F34" s="24">
        <f t="shared" si="2"/>
        <v>0</v>
      </c>
      <c r="G34" s="30">
        <f>'[1]M ALI DEVELOPERS FITTINGS'!$I$68</f>
        <v>101123</v>
      </c>
      <c r="H34" s="16">
        <f t="shared" si="0"/>
        <v>0</v>
      </c>
      <c r="I34" s="21"/>
      <c r="N34" s="46">
        <f>SUM(N9:N33)</f>
        <v>20</v>
      </c>
      <c r="O34" s="46">
        <f t="shared" ref="O34:V34" si="3">SUM(O9:O33)</f>
        <v>3</v>
      </c>
      <c r="P34" s="46">
        <f t="shared" si="3"/>
        <v>3</v>
      </c>
      <c r="Q34" s="46">
        <f t="shared" si="3"/>
        <v>0</v>
      </c>
      <c r="R34" s="46">
        <f t="shared" si="3"/>
        <v>4005.92</v>
      </c>
      <c r="S34" s="46">
        <f t="shared" si="3"/>
        <v>469.82</v>
      </c>
      <c r="T34" s="46">
        <f t="shared" si="3"/>
        <v>29.6</v>
      </c>
      <c r="U34" s="46">
        <f>SUM(U9:U33)</f>
        <v>0</v>
      </c>
      <c r="V34" s="46">
        <f t="shared" si="3"/>
        <v>0</v>
      </c>
    </row>
    <row r="35" spans="1:22" ht="24.95" customHeight="1" x14ac:dyDescent="0.25">
      <c r="A35" s="25">
        <f t="shared" si="1"/>
        <v>32</v>
      </c>
      <c r="B35" s="45" t="s">
        <v>58</v>
      </c>
      <c r="C35" s="20" t="s">
        <v>39</v>
      </c>
      <c r="D35" s="20">
        <f>3</f>
        <v>3</v>
      </c>
      <c r="E35" s="20">
        <f>3</f>
        <v>3</v>
      </c>
      <c r="F35" s="24">
        <f t="shared" si="2"/>
        <v>0</v>
      </c>
      <c r="G35" s="30">
        <f>+'[1]M ALI DEVELOPERS FITTINGS'!$I$70</f>
        <v>168720</v>
      </c>
      <c r="H35" s="16">
        <f t="shared" si="0"/>
        <v>0</v>
      </c>
      <c r="I35" s="21"/>
      <c r="O35" s="35"/>
      <c r="P35" s="35"/>
      <c r="Q35" s="35"/>
      <c r="R35" s="35"/>
      <c r="S35" s="35"/>
      <c r="T35" s="35"/>
    </row>
    <row r="36" spans="1:22" ht="24.95" customHeight="1" x14ac:dyDescent="0.3">
      <c r="A36" s="25">
        <f t="shared" si="1"/>
        <v>33</v>
      </c>
      <c r="B36" s="47" t="s">
        <v>59</v>
      </c>
      <c r="C36" s="20" t="s">
        <v>39</v>
      </c>
      <c r="D36" s="20">
        <f>9</f>
        <v>9</v>
      </c>
      <c r="E36" s="20">
        <f>9</f>
        <v>9</v>
      </c>
      <c r="F36" s="20">
        <f t="shared" si="2"/>
        <v>0</v>
      </c>
      <c r="G36" s="48">
        <v>0</v>
      </c>
      <c r="H36" s="16">
        <f t="shared" si="0"/>
        <v>0</v>
      </c>
      <c r="I36" s="23"/>
    </row>
    <row r="37" spans="1:22" ht="26.25" customHeight="1" x14ac:dyDescent="0.25">
      <c r="A37" s="25">
        <f t="shared" si="1"/>
        <v>34</v>
      </c>
      <c r="B37" s="47" t="s">
        <v>60</v>
      </c>
      <c r="C37" s="20" t="s">
        <v>61</v>
      </c>
      <c r="D37" s="20">
        <f>199286+1000+850+750+760+440+850+850+850+850+840+2800+800+800+800+1400+1400+1400+840+830+850</f>
        <v>219246</v>
      </c>
      <c r="E37" s="20">
        <f>198354+336+635+130+252+480+820+23+531+761+480+895+450+970+435+945+420+1408+540+478+740+820+423+212+801+100+257+340+290+1342+860+162+841+280+71+720+740+70+280+1+170+20</f>
        <v>218883</v>
      </c>
      <c r="F37" s="20">
        <f>D37-E37</f>
        <v>363</v>
      </c>
      <c r="G37" s="49">
        <v>1380</v>
      </c>
      <c r="H37" s="16">
        <f t="shared" si="0"/>
        <v>500940</v>
      </c>
      <c r="I37" s="17"/>
    </row>
    <row r="38" spans="1:22" ht="31.5" customHeight="1" x14ac:dyDescent="0.25">
      <c r="A38" s="25">
        <f t="shared" si="1"/>
        <v>35</v>
      </c>
      <c r="B38" s="19" t="s">
        <v>62</v>
      </c>
      <c r="C38" s="20" t="s">
        <v>39</v>
      </c>
      <c r="D38" s="20">
        <f>4975195+18000+18000+6000+6000+12000+18000+12000+12000+6000+6000+12000+6000+6000+6000+6000+6000+6000+6000+12000+6000+6000+6000+6000+6000+12000+6000+6000+6000+6000+6000+6000+6000+6000</f>
        <v>5245195</v>
      </c>
      <c r="E38" s="20">
        <f>4969195+6000+18000+18000+6000+14500+18000+13400+14100+6000+6000+12000+6000+1000+6350+7200+7300+6000+700+4100+13000+6800+6000+7300+6000+12400+7000+6000+7350+6350+7500+6500+6550+600</f>
        <v>5239195</v>
      </c>
      <c r="F38" s="20">
        <f>D38-E38</f>
        <v>6000</v>
      </c>
      <c r="G38" s="49">
        <v>19.5</v>
      </c>
      <c r="H38" s="16">
        <f t="shared" si="0"/>
        <v>117000</v>
      </c>
      <c r="I38" s="17"/>
      <c r="K38" t="s">
        <v>63</v>
      </c>
    </row>
    <row r="39" spans="1:22" ht="24.95" customHeight="1" x14ac:dyDescent="0.25">
      <c r="A39" s="25">
        <f t="shared" si="1"/>
        <v>36</v>
      </c>
      <c r="B39" s="19" t="s">
        <v>64</v>
      </c>
      <c r="C39" s="20" t="s">
        <v>65</v>
      </c>
      <c r="D39" s="20">
        <f>16678</f>
        <v>16678</v>
      </c>
      <c r="E39" s="20">
        <f>16678</f>
        <v>16678</v>
      </c>
      <c r="F39" s="20">
        <f>D39-E39</f>
        <v>0</v>
      </c>
      <c r="G39" s="20">
        <v>272.39999999999998</v>
      </c>
      <c r="H39" s="16">
        <f t="shared" si="0"/>
        <v>0</v>
      </c>
      <c r="I39" s="17"/>
      <c r="S39" s="37"/>
    </row>
    <row r="40" spans="1:22" ht="35.25" customHeight="1" x14ac:dyDescent="0.25">
      <c r="A40" s="25">
        <f t="shared" si="1"/>
        <v>37</v>
      </c>
      <c r="B40" s="19" t="s">
        <v>66</v>
      </c>
      <c r="C40" s="20" t="s">
        <v>65</v>
      </c>
      <c r="D40" s="20">
        <f>912312+69850+85680+64920+16000+93380</f>
        <v>1242142</v>
      </c>
      <c r="E40" s="50">
        <f>1098861+42.624+2008.3+2530.8+3689+1580+4213.1+3361.3+1162.2+276.35+2694.6+526.64+1528+2008.8+170.14+804.98+415+71.04+118.82+1837.1+1672.6+1084.8+300.6+56.832+1534.821+2296+1461.8+1333+680.64+481.01+39.308+71.04+116.5+248.04+1837.1+1218.3+475.27+71.04+524.4+236.48+265.71+56.84+156.3+28.42+1103.4+2047.3+1121+1741.6</f>
        <v>1150159.9450000008</v>
      </c>
      <c r="F40" s="50">
        <f>D40-E40</f>
        <v>91982.054999999236</v>
      </c>
      <c r="G40" s="20">
        <v>240</v>
      </c>
      <c r="H40" s="16">
        <f t="shared" si="0"/>
        <v>22075693.199999817</v>
      </c>
      <c r="I40" s="17"/>
      <c r="L40" s="21"/>
    </row>
    <row r="41" spans="1:22" ht="24.95" customHeight="1" x14ac:dyDescent="0.25">
      <c r="A41" s="25">
        <f t="shared" si="1"/>
        <v>38</v>
      </c>
      <c r="B41" s="19" t="s">
        <v>67</v>
      </c>
      <c r="C41" s="20" t="s">
        <v>65</v>
      </c>
      <c r="D41" s="20">
        <f>264875+25350+44650+2000+25000+25000+3000</f>
        <v>389875</v>
      </c>
      <c r="E41" s="20">
        <f>357247.2+291.26+852.41+238+774+671.13+157+1057.1+147.64+43.413+278.71+109.1+783.02+826.43+1249.2+1096.2+1488.2+2192.5+501.2+798.71+783.02+1074.3+159.2+783.02+582.6+1252.8+156.604+352.59+1763.6+783.02+2686.2+1252.9+713.73+592.41+1497.2+313.21+1208.9+542.9+85.9+469.82</f>
        <v>387856.34700000018</v>
      </c>
      <c r="F41" s="20">
        <f t="shared" si="2"/>
        <v>2018.6529999998165</v>
      </c>
      <c r="G41" s="20">
        <v>275</v>
      </c>
      <c r="H41" s="16">
        <f t="shared" si="0"/>
        <v>555129.57499994955</v>
      </c>
      <c r="I41" s="17"/>
    </row>
    <row r="42" spans="1:22" ht="28.5" customHeight="1" x14ac:dyDescent="0.25">
      <c r="A42" s="25">
        <f t="shared" si="1"/>
        <v>39</v>
      </c>
      <c r="B42" s="19" t="s">
        <v>68</v>
      </c>
      <c r="C42" s="20" t="s">
        <v>65</v>
      </c>
      <c r="D42" s="51">
        <f>1100575+49670+2000+5000+36570+3000</f>
        <v>1196815</v>
      </c>
      <c r="E42" s="50">
        <f>1128497+44.4+292.81+387+579+8+111+19.728+27.126+304.93+1064.6+498.24+248.38+194.176+108.52+355.4+12.33+346.9+61.66+24.7+98.7+243.5+49.32+14.8+9.9+47+24.66+243.5+44.4+24.66+33.3+968.94+9.9+427.72+37+29.6</f>
        <v>1135492.7999999991</v>
      </c>
      <c r="F42" s="50">
        <f>D42-E42</f>
        <v>61322.200000000885</v>
      </c>
      <c r="G42" s="20">
        <v>275</v>
      </c>
      <c r="H42" s="16">
        <f t="shared" si="0"/>
        <v>16863605.000000242</v>
      </c>
      <c r="I42" s="52"/>
    </row>
    <row r="43" spans="1:22" ht="24.95" customHeight="1" x14ac:dyDescent="0.25">
      <c r="A43" s="53">
        <f t="shared" si="1"/>
        <v>40</v>
      </c>
      <c r="B43" s="54" t="s">
        <v>69</v>
      </c>
      <c r="C43" s="55" t="s">
        <v>65</v>
      </c>
      <c r="D43" s="56">
        <f>18500</f>
        <v>18500</v>
      </c>
      <c r="E43" s="57">
        <f>18500</f>
        <v>18500</v>
      </c>
      <c r="F43" s="58">
        <f>D43-E43</f>
        <v>0</v>
      </c>
      <c r="G43" s="59">
        <v>268.8</v>
      </c>
      <c r="H43" s="16">
        <f t="shared" si="0"/>
        <v>0</v>
      </c>
      <c r="I43" s="17"/>
      <c r="L43" s="37"/>
      <c r="M43" s="21"/>
    </row>
    <row r="44" spans="1:22" ht="30" customHeight="1" x14ac:dyDescent="0.35">
      <c r="A44" s="60" t="s">
        <v>70</v>
      </c>
      <c r="B44" s="61"/>
      <c r="C44" s="61"/>
      <c r="D44" s="61"/>
      <c r="E44" s="61"/>
      <c r="F44" s="61"/>
      <c r="G44" s="62"/>
      <c r="H44" s="63">
        <f>SUM(H4:H43)</f>
        <v>74099457.502402484</v>
      </c>
    </row>
  </sheetData>
  <mergeCells count="5">
    <mergeCell ref="A1:H1"/>
    <mergeCell ref="A2:D2"/>
    <mergeCell ref="E2:H2"/>
    <mergeCell ref="K19:K24"/>
    <mergeCell ref="A44:G44"/>
  </mergeCells>
  <printOptions horizontalCentered="1"/>
  <pageMargins left="0.25" right="0.25" top="0.25" bottom="0.25" header="0.3" footer="0.3"/>
  <pageSetup paperSize="9" scale="74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30-06-26</vt:lpstr>
      <vt:lpstr>'30-06-26'!Print_Area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Ehtisham Hussain</dc:creator>
  <cp:lastModifiedBy>Ehtisham Hussain</cp:lastModifiedBy>
  <cp:lastPrinted>2026-09-14T04:58:21Z</cp:lastPrinted>
  <dcterms:created xsi:type="dcterms:W3CDTF">2026-09-14T04:53:12Z</dcterms:created>
  <dcterms:modified xsi:type="dcterms:W3CDTF">2026-09-14T05:07:34Z</dcterms:modified>
</cp:coreProperties>
</file>